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oM\PINCH\Codes\DU\LBM-shared\tests\benchmark\SingleComponent\PoiseuilleForcePorousMedia\"/>
    </mc:Choice>
  </mc:AlternateContent>
  <xr:revisionPtr revIDLastSave="0" documentId="8_{7035CC4B-7CFA-482A-BB50-2361216AAF8A}" xr6:coauthVersionLast="47" xr6:coauthVersionMax="47" xr10:uidLastSave="{00000000-0000-0000-0000-000000000000}"/>
  <bookViews>
    <workbookView xWindow="-108" yWindow="-108" windowWidth="23256" windowHeight="12456" xr2:uid="{F4A76A52-2C54-4062-A4A2-31322FDEE6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9" i="1"/>
  <c r="B10" i="1" s="1"/>
  <c r="B5" i="1"/>
  <c r="B13" i="1" s="1"/>
  <c r="B14" i="1" s="1"/>
  <c r="B19" i="1" l="1"/>
  <c r="B15" i="1"/>
</calcChain>
</file>

<file path=xl/sharedStrings.xml><?xml version="1.0" encoding="utf-8"?>
<sst xmlns="http://schemas.openxmlformats.org/spreadsheetml/2006/main" count="13" uniqueCount="13">
  <si>
    <t>Re</t>
  </si>
  <si>
    <t>Tau</t>
  </si>
  <si>
    <t>nu</t>
  </si>
  <si>
    <t>r</t>
  </si>
  <si>
    <t>x</t>
  </si>
  <si>
    <t>F_eps</t>
  </si>
  <si>
    <t>Darcy</t>
  </si>
  <si>
    <t>Porosity</t>
  </si>
  <si>
    <t>Channel width</t>
  </si>
  <si>
    <t>Permeability</t>
  </si>
  <si>
    <t>u_max</t>
  </si>
  <si>
    <t>G (Body Force)</t>
  </si>
  <si>
    <t>darcyPrefactor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</si>
</sst>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F2A4D-D2CA-49CD-913C-BA0BF7800A9D}">
  <dimension ref="A1:B20"/>
  <sheetViews>
    <sheetView tabSelected="1" workbookViewId="0">
      <selection activeCell="A21" sqref="A21"/>
    </sheetView>
  </sheetViews>
  <sheetFormatPr defaultRowHeight="14.4" x14ac:dyDescent="0.3"/>
  <cols>
    <col min="1" max="1" width="12.33203125" bestFit="1" customWidth="1"/>
    <col min="2" max="2" width="12" bestFit="1" customWidth="1"/>
    <col min="6" max="6" width="12" bestFit="1" customWidth="1"/>
  </cols>
  <sheetData>
    <row r="1" spans="1:2" x14ac:dyDescent="0.3">
      <c r="A1" t="s">
        <v>8</v>
      </c>
      <c r="B1">
        <v>80</v>
      </c>
    </row>
    <row r="2" spans="1:2" x14ac:dyDescent="0.3">
      <c r="A2" t="s">
        <v>7</v>
      </c>
      <c r="B2">
        <v>0.1</v>
      </c>
    </row>
    <row r="3" spans="1:2" x14ac:dyDescent="0.3">
      <c r="A3" t="s">
        <v>6</v>
      </c>
      <c r="B3" s="1">
        <v>1.0000000000000001E-5</v>
      </c>
    </row>
    <row r="5" spans="1:2" x14ac:dyDescent="0.3">
      <c r="A5" t="s">
        <v>9</v>
      </c>
      <c r="B5" s="1">
        <f>B3*B1*B1</f>
        <v>6.4000000000000001E-2</v>
      </c>
    </row>
    <row r="6" spans="1:2" x14ac:dyDescent="0.3">
      <c r="A6" s="1"/>
    </row>
    <row r="7" spans="1:2" x14ac:dyDescent="0.3">
      <c r="A7" t="s">
        <v>0</v>
      </c>
      <c r="B7">
        <v>0.01</v>
      </c>
    </row>
    <row r="8" spans="1:2" x14ac:dyDescent="0.3">
      <c r="A8" t="s">
        <v>1</v>
      </c>
      <c r="B8">
        <v>0.6</v>
      </c>
    </row>
    <row r="9" spans="1:2" x14ac:dyDescent="0.3">
      <c r="A9" t="s">
        <v>2</v>
      </c>
      <c r="B9">
        <f>1/3*(B8-0.5)</f>
        <v>3.3333333333333326E-2</v>
      </c>
    </row>
    <row r="10" spans="1:2" x14ac:dyDescent="0.3">
      <c r="A10" t="s">
        <v>10</v>
      </c>
      <c r="B10" s="2">
        <f>B7*B9/B1</f>
        <v>4.166666666666666E-6</v>
      </c>
    </row>
    <row r="13" spans="1:2" x14ac:dyDescent="0.3">
      <c r="A13" t="s">
        <v>3</v>
      </c>
      <c r="B13">
        <f>SQRT(B2/B5)</f>
        <v>1.25</v>
      </c>
    </row>
    <row r="14" spans="1:2" x14ac:dyDescent="0.3">
      <c r="A14" t="s">
        <v>4</v>
      </c>
      <c r="B14" s="3">
        <f>1-1/COSH(B13*B1/2)</f>
        <v>1</v>
      </c>
    </row>
    <row r="15" spans="1:2" x14ac:dyDescent="0.3">
      <c r="A15" t="s">
        <v>11</v>
      </c>
      <c r="B15" s="1">
        <f>B10*B9/(B5*B14)</f>
        <v>2.170138888888888E-6</v>
      </c>
    </row>
    <row r="19" spans="1:2" x14ac:dyDescent="0.3">
      <c r="A19" t="s">
        <v>12</v>
      </c>
      <c r="B19" s="1">
        <f>-B2*B9/B5</f>
        <v>-5.2083333333333322E-2</v>
      </c>
    </row>
    <row r="20" spans="1:2" x14ac:dyDescent="0.3">
      <c r="A20" t="s">
        <v>5</v>
      </c>
      <c r="B20">
        <f>1.75/SQRT(150*B2^3)</f>
        <v>4.5184805705753197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Mehrdad Vasheghani Farahani</dc:creator>
  <cp:lastModifiedBy>Mehrdad Vasheghani Farahani</cp:lastModifiedBy>
  <dcterms:created xsi:type="dcterms:W3CDTF">2024-11-14T12:36:13Z</dcterms:created>
  <dcterms:modified xsi:type="dcterms:W3CDTF">2024-11-15T11:42:55Z</dcterms:modified>
</cp:coreProperties>
</file>